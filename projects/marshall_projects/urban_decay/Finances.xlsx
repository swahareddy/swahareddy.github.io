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https://coepac-my.sharepoint.com/personal/tejaswaljg14_comp_coep_ac_in/Documents/THE FOLDER/USC/Marshall/Academics/Term IV/GSBA 552 - Problem Solving and Decision Making -  An Integrative Approach (Urban Decay)/UD Team 5/"/>
    </mc:Choice>
  </mc:AlternateContent>
  <xr:revisionPtr revIDLastSave="898" documentId="13_ncr:1_{235EE009-6BD6-40CD-9BF7-8ABB689028DF}" xr6:coauthVersionLast="47" xr6:coauthVersionMax="47" xr10:uidLastSave="{B3D2A94D-895E-4738-A002-D21DB783AC21}"/>
  <bookViews>
    <workbookView xWindow="-98" yWindow="-98" windowWidth="20715" windowHeight="13276" xr2:uid="{00000000-000D-0000-FFFF-FFFF00000000}"/>
  </bookViews>
  <sheets>
    <sheet name="Roblox SkatePark + Olympics" sheetId="2" r:id="rId1"/>
    <sheet name="Influencer Campaign" sheetId="1" r:id="rId2"/>
  </sheets>
  <definedNames>
    <definedName name="solver_adj" localSheetId="0" hidden="1">'Roblox SkatePark + Olympics'!$J$15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'Roblox SkatePark + Olympics'!$J$27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2" l="1"/>
  <c r="C4" i="1"/>
  <c r="M30" i="2"/>
  <c r="D15" i="2" s="1"/>
  <c r="D16" i="2" s="1"/>
  <c r="F15" i="2"/>
  <c r="F16" i="2" s="1"/>
  <c r="G15" i="2"/>
  <c r="G16" i="2" s="1"/>
  <c r="H15" i="2"/>
  <c r="H16" i="2" s="1"/>
  <c r="C9" i="2"/>
  <c r="C42" i="1"/>
  <c r="C43" i="1" s="1"/>
  <c r="D23" i="2"/>
  <c r="E23" i="2"/>
  <c r="F23" i="2"/>
  <c r="G23" i="2"/>
  <c r="H23" i="2"/>
  <c r="I23" i="2"/>
  <c r="C23" i="2"/>
  <c r="M28" i="2"/>
  <c r="M24" i="2"/>
  <c r="L34" i="1"/>
  <c r="L35" i="1" s="1"/>
  <c r="L37" i="1" s="1"/>
  <c r="J25" i="1"/>
  <c r="J26" i="1"/>
  <c r="J24" i="1"/>
  <c r="H27" i="1"/>
  <c r="K26" i="1"/>
  <c r="K25" i="1"/>
  <c r="K24" i="1"/>
  <c r="K23" i="1"/>
  <c r="J23" i="1"/>
  <c r="K22" i="1"/>
  <c r="J22" i="1"/>
  <c r="K21" i="1"/>
  <c r="J21" i="1"/>
  <c r="C12" i="1"/>
  <c r="C30" i="2" l="1"/>
  <c r="F24" i="2" s="1"/>
  <c r="F25" i="2" s="1"/>
  <c r="D17" i="2"/>
  <c r="F17" i="2"/>
  <c r="H17" i="2"/>
  <c r="G17" i="2"/>
  <c r="D18" i="2"/>
  <c r="H18" i="2"/>
  <c r="G18" i="2"/>
  <c r="F18" i="2"/>
  <c r="M31" i="2"/>
  <c r="C15" i="2"/>
  <c r="E15" i="2"/>
  <c r="I15" i="2"/>
  <c r="C5" i="1"/>
  <c r="D4" i="1"/>
  <c r="E4" i="1" s="1"/>
  <c r="L21" i="1"/>
  <c r="L26" i="1"/>
  <c r="L22" i="1"/>
  <c r="L25" i="1"/>
  <c r="L24" i="1"/>
  <c r="L23" i="1"/>
  <c r="D24" i="2" l="1"/>
  <c r="D25" i="2" s="1"/>
  <c r="E24" i="2"/>
  <c r="E25" i="2" s="1"/>
  <c r="C24" i="2"/>
  <c r="G24" i="2"/>
  <c r="G25" i="2" s="1"/>
  <c r="I24" i="2"/>
  <c r="I25" i="2" s="1"/>
  <c r="H24" i="2"/>
  <c r="H25" i="2" s="1"/>
  <c r="H27" i="2" s="1"/>
  <c r="C16" i="2"/>
  <c r="C18" i="2" s="1"/>
  <c r="C33" i="2" s="1"/>
  <c r="D33" i="2" s="1"/>
  <c r="C17" i="2"/>
  <c r="J17" i="2" s="1"/>
  <c r="I16" i="2"/>
  <c r="I18" i="2" s="1"/>
  <c r="I17" i="2"/>
  <c r="E16" i="2"/>
  <c r="E18" i="2" s="1"/>
  <c r="E17" i="2"/>
  <c r="C6" i="1"/>
  <c r="E27" i="2"/>
  <c r="F27" i="2"/>
  <c r="D27" i="2"/>
  <c r="G27" i="2"/>
  <c r="C25" i="2"/>
  <c r="D5" i="1"/>
  <c r="D6" i="1" s="1"/>
  <c r="L27" i="1"/>
  <c r="C11" i="1" s="1"/>
  <c r="C14" i="1" s="1"/>
  <c r="C32" i="1" s="1"/>
  <c r="D35" i="2" l="1"/>
  <c r="C32" i="2"/>
  <c r="D32" i="2" s="1"/>
  <c r="I27" i="2"/>
  <c r="J27" i="2" s="1"/>
  <c r="C27" i="2"/>
  <c r="C34" i="1"/>
  <c r="F4" i="1"/>
  <c r="E5" i="1"/>
  <c r="C34" i="2" l="1"/>
  <c r="E6" i="1"/>
  <c r="G4" i="1"/>
  <c r="F5" i="1"/>
  <c r="F6" i="1" s="1"/>
  <c r="H4" i="1" l="1"/>
  <c r="H5" i="1" s="1"/>
  <c r="H6" i="1" s="1"/>
  <c r="G5" i="1"/>
  <c r="G6" i="1" l="1"/>
  <c r="C7" i="1" s="1"/>
  <c r="C8" i="1"/>
  <c r="C16" i="1" l="1"/>
  <c r="D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tc={7E619180-6B68-4D6B-8160-CD91D13B4DE2}</author>
    <author>tc={C62FAA69-D26A-4008-8677-2F71C81AA5B6}</author>
  </authors>
  <commentList>
    <comment ref="B20" authorId="0" shapeId="0" xr:uid="{7E619180-6B68-4D6B-8160-CD91D13B4DE2}">
      <text>
        <t>[Threaded comment]
Your version of Excel allows you to read this threaded comment; however, any edits to it will get removed if the file is opened in a newer version of Excel. Learn more: https://go.microsoft.com/fwlink/?linkid=870924
Comment:
    Turn this into a straight line function instead of picking nearest tier</t>
      </text>
    </comment>
    <comment ref="H27" authorId="1" shapeId="0" xr:uid="{C62FAA69-D26A-4008-8677-2F71C81AA5B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There will be overlap</t>
      </text>
    </comment>
  </commentList>
</comments>
</file>

<file path=xl/sharedStrings.xml><?xml version="1.0" encoding="utf-8"?>
<sst xmlns="http://schemas.openxmlformats.org/spreadsheetml/2006/main" count="105" uniqueCount="95">
  <si>
    <t>Influencer costs</t>
  </si>
  <si>
    <t>Content strategy</t>
  </si>
  <si>
    <t>Offline marketing campaign</t>
  </si>
  <si>
    <t>Net expense</t>
  </si>
  <si>
    <t>`</t>
  </si>
  <si>
    <t>Influencer rates</t>
  </si>
  <si>
    <t>Influencer</t>
  </si>
  <si>
    <t>Followers</t>
  </si>
  <si>
    <t>Tier</t>
  </si>
  <si>
    <t>Rate</t>
  </si>
  <si>
    <t>Posts</t>
  </si>
  <si>
    <t>Cost</t>
  </si>
  <si>
    <t>Per post rate</t>
  </si>
  <si>
    <t>Bryce Wettstein</t>
  </si>
  <si>
    <t>Micro</t>
  </si>
  <si>
    <t>Nano</t>
  </si>
  <si>
    <t>Mid-tier</t>
  </si>
  <si>
    <t>Macro</t>
  </si>
  <si>
    <t>Mega</t>
  </si>
  <si>
    <t>Total</t>
  </si>
  <si>
    <t>Lead generation</t>
  </si>
  <si>
    <t>Lead conversion</t>
  </si>
  <si>
    <t>LTV</t>
  </si>
  <si>
    <t>Number of posts</t>
  </si>
  <si>
    <t>Content strategy cost (monthly)</t>
  </si>
  <si>
    <t>Follower growth rate</t>
  </si>
  <si>
    <t xml:space="preserve">Alexis Sablone </t>
  </si>
  <si>
    <r>
      <t>Jordyn</t>
    </r>
    <r>
      <rPr>
        <sz val="11"/>
        <color rgb="FF000000"/>
        <rFont val="Arial"/>
        <family val="2"/>
      </rPr>
      <t xml:space="preserve"> Barratt</t>
    </r>
  </si>
  <si>
    <r>
      <t xml:space="preserve">Brighton </t>
    </r>
    <r>
      <rPr>
        <sz val="11"/>
        <color rgb="FF000000"/>
        <rFont val="Arial"/>
        <family val="2"/>
      </rPr>
      <t>Zeuner</t>
    </r>
  </si>
  <si>
    <r>
      <t xml:space="preserve">Mariah </t>
    </r>
    <r>
      <rPr>
        <sz val="11"/>
        <color rgb="FF000000"/>
        <rFont val="Arial"/>
        <family val="2"/>
      </rPr>
      <t>Duran</t>
    </r>
  </si>
  <si>
    <r>
      <t xml:space="preserve">Alana </t>
    </r>
    <r>
      <rPr>
        <sz val="11"/>
        <color rgb="FF000000"/>
        <rFont val="Arial"/>
        <family val="2"/>
      </rPr>
      <t>Smith</t>
    </r>
  </si>
  <si>
    <t>LTV/CAC</t>
  </si>
  <si>
    <t>CAC</t>
  </si>
  <si>
    <t>New customers</t>
  </si>
  <si>
    <t>Monthly spend on beauty, fitness, wellness</t>
  </si>
  <si>
    <t>Facial skin care</t>
  </si>
  <si>
    <t>% captured by UD</t>
  </si>
  <si>
    <t>UD monthly revenue</t>
  </si>
  <si>
    <t>UD annual revenue</t>
  </si>
  <si>
    <t>Annual churn</t>
  </si>
  <si>
    <t xml:space="preserve">https://www.salontoday.com/1082057/new-study-evaluates-american-spending-on-beauty-fitness-and-wellness </t>
  </si>
  <si>
    <t>Content</t>
  </si>
  <si>
    <t>LTV generated</t>
  </si>
  <si>
    <t>Marketing Costs</t>
  </si>
  <si>
    <t>Gross profit</t>
  </si>
  <si>
    <t xml:space="preserve">https://www.freelanceformulations.com/post/what-is-the-average-profit-margin-of-the-cosmetic-industry </t>
  </si>
  <si>
    <t>Game design and operations</t>
  </si>
  <si>
    <t>A Look At Roblox Developer Unit Economics — Naavik</t>
  </si>
  <si>
    <t>Development</t>
  </si>
  <si>
    <t>Cybersmile</t>
  </si>
  <si>
    <t>Per hour charge</t>
  </si>
  <si>
    <t>Hours/day</t>
  </si>
  <si>
    <t>one-time</t>
  </si>
  <si>
    <t>Production support</t>
  </si>
  <si>
    <t>annual</t>
  </si>
  <si>
    <t>VansWorld</t>
  </si>
  <si>
    <t>Years</t>
  </si>
  <si>
    <t>Favs</t>
  </si>
  <si>
    <t>Visits</t>
  </si>
  <si>
    <t>Visits/fav</t>
  </si>
  <si>
    <t>Now playing</t>
  </si>
  <si>
    <t>Average play time</t>
  </si>
  <si>
    <t>DAU</t>
  </si>
  <si>
    <t>% shoppers</t>
  </si>
  <si>
    <t>Shoppers</t>
  </si>
  <si>
    <t>Revenue driven</t>
  </si>
  <si>
    <t>Total expense</t>
  </si>
  <si>
    <t>Moderator costs</t>
  </si>
  <si>
    <t>Revenue</t>
  </si>
  <si>
    <t>Loreal</t>
  </si>
  <si>
    <t>Profit</t>
  </si>
  <si>
    <t>ARPU</t>
  </si>
  <si>
    <t xml:space="preserve">https://www.rhythminfluence.com/influencer-marketing-roi-and-analytics </t>
  </si>
  <si>
    <t>Total revenue from campaign</t>
  </si>
  <si>
    <t>Operating profits driven</t>
  </si>
  <si>
    <t>Campaign attributable profits</t>
  </si>
  <si>
    <t>Total profit</t>
  </si>
  <si>
    <t>Total revenue</t>
  </si>
  <si>
    <t>Marketing RoI</t>
  </si>
  <si>
    <t>GutCheck</t>
  </si>
  <si>
    <t>Athlete funnel</t>
  </si>
  <si>
    <t>Number of athletes</t>
  </si>
  <si>
    <t>Annual retainer per person</t>
  </si>
  <si>
    <t>Total annual retainer</t>
  </si>
  <si>
    <t>MAU</t>
  </si>
  <si>
    <t>DAU/MAU</t>
  </si>
  <si>
    <t>MAU/DAU</t>
  </si>
  <si>
    <t># Moderators</t>
  </si>
  <si>
    <t>Players (MAU)</t>
  </si>
  <si>
    <t>Users:Moderators ratio</t>
  </si>
  <si>
    <t>Moderator hours</t>
  </si>
  <si>
    <t>Average annual</t>
  </si>
  <si>
    <t>Total (7 years)</t>
  </si>
  <si>
    <t>Annual</t>
  </si>
  <si>
    <t>Average op profits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</si>
</sst>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0.0"/>
    <numFmt numFmtId="167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0000"/>
      <name val="Arial"/>
      <family val="2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164" fontId="0" fillId="0" borderId="0" xfId="1" applyNumberFormat="1" applyFont="1"/>
    <xf numFmtId="0" fontId="2" fillId="0" borderId="1" xfId="0" applyFont="1" applyBorder="1"/>
    <xf numFmtId="164" fontId="0" fillId="0" borderId="1" xfId="1" applyNumberFormat="1" applyFont="1" applyBorder="1"/>
    <xf numFmtId="164" fontId="0" fillId="0" borderId="0" xfId="0" applyNumberFormat="1"/>
    <xf numFmtId="44" fontId="0" fillId="0" borderId="0" xfId="2" applyFont="1" applyBorder="1"/>
    <xf numFmtId="9" fontId="3" fillId="0" borderId="0" xfId="0" applyNumberFormat="1" applyFont="1"/>
    <xf numFmtId="165" fontId="3" fillId="0" borderId="0" xfId="2" applyNumberFormat="1" applyFont="1"/>
    <xf numFmtId="9" fontId="6" fillId="0" borderId="0" xfId="0" applyNumberFormat="1" applyFont="1"/>
    <xf numFmtId="44" fontId="3" fillId="0" borderId="0" xfId="0" applyNumberFormat="1" applyFont="1"/>
    <xf numFmtId="0" fontId="7" fillId="0" borderId="0" xfId="4"/>
    <xf numFmtId="0" fontId="2" fillId="0" borderId="3" xfId="0" applyFont="1" applyBorder="1"/>
    <xf numFmtId="0" fontId="0" fillId="0" borderId="1" xfId="0" applyBorder="1"/>
    <xf numFmtId="0" fontId="0" fillId="0" borderId="4" xfId="0" applyBorder="1"/>
    <xf numFmtId="0" fontId="2" fillId="0" borderId="5" xfId="0" applyFont="1" applyBorder="1"/>
    <xf numFmtId="0" fontId="0" fillId="0" borderId="6" xfId="0" applyBorder="1"/>
    <xf numFmtId="0" fontId="0" fillId="0" borderId="5" xfId="0" applyBorder="1"/>
    <xf numFmtId="164" fontId="0" fillId="0" borderId="0" xfId="1" applyNumberFormat="1" applyFont="1" applyBorder="1"/>
    <xf numFmtId="165" fontId="0" fillId="0" borderId="6" xfId="2" applyNumberFormat="1" applyFont="1" applyBorder="1"/>
    <xf numFmtId="0" fontId="0" fillId="0" borderId="7" xfId="0" applyBorder="1"/>
    <xf numFmtId="0" fontId="0" fillId="0" borderId="2" xfId="0" applyBorder="1"/>
    <xf numFmtId="165" fontId="0" fillId="0" borderId="8" xfId="2" applyNumberFormat="1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164" fontId="5" fillId="0" borderId="0" xfId="1" applyNumberFormat="1" applyFont="1" applyBorder="1"/>
    <xf numFmtId="165" fontId="0" fillId="0" borderId="0" xfId="2" applyNumberFormat="1" applyFont="1" applyBorder="1"/>
    <xf numFmtId="164" fontId="0" fillId="0" borderId="10" xfId="0" applyNumberFormat="1" applyBorder="1"/>
    <xf numFmtId="165" fontId="0" fillId="0" borderId="11" xfId="2" applyNumberFormat="1" applyFont="1" applyBorder="1"/>
    <xf numFmtId="9" fontId="0" fillId="0" borderId="6" xfId="0" applyNumberFormat="1" applyBorder="1"/>
    <xf numFmtId="9" fontId="6" fillId="0" borderId="6" xfId="0" applyNumberFormat="1" applyFont="1" applyBorder="1"/>
    <xf numFmtId="44" fontId="0" fillId="0" borderId="6" xfId="0" applyNumberFormat="1" applyBorder="1"/>
    <xf numFmtId="44" fontId="2" fillId="0" borderId="6" xfId="0" applyNumberFormat="1" applyFont="1" applyBorder="1"/>
    <xf numFmtId="0" fontId="0" fillId="0" borderId="8" xfId="0" applyBorder="1"/>
    <xf numFmtId="0" fontId="0" fillId="0" borderId="3" xfId="0" applyBorder="1"/>
    <xf numFmtId="0" fontId="3" fillId="0" borderId="4" xfId="0" applyFont="1" applyBorder="1"/>
    <xf numFmtId="0" fontId="0" fillId="0" borderId="7" xfId="0" applyBorder="1" applyAlignment="1">
      <alignment wrapText="1"/>
    </xf>
    <xf numFmtId="0" fontId="3" fillId="0" borderId="8" xfId="0" applyFont="1" applyBorder="1"/>
    <xf numFmtId="43" fontId="0" fillId="0" borderId="0" xfId="0" applyNumberFormat="1"/>
    <xf numFmtId="2" fontId="5" fillId="0" borderId="0" xfId="0" applyNumberFormat="1" applyFont="1"/>
    <xf numFmtId="166" fontId="2" fillId="0" borderId="0" xfId="0" applyNumberFormat="1" applyFont="1"/>
    <xf numFmtId="167" fontId="2" fillId="0" borderId="0" xfId="3" applyNumberFormat="1" applyFont="1" applyFill="1" applyBorder="1"/>
    <xf numFmtId="0" fontId="2" fillId="0" borderId="4" xfId="0" applyFont="1" applyBorder="1"/>
    <xf numFmtId="43" fontId="0" fillId="0" borderId="6" xfId="0" applyNumberFormat="1" applyBorder="1"/>
    <xf numFmtId="164" fontId="0" fillId="0" borderId="6" xfId="1" applyNumberFormat="1" applyFont="1" applyBorder="1"/>
    <xf numFmtId="164" fontId="0" fillId="0" borderId="10" xfId="1" applyNumberFormat="1" applyFont="1" applyBorder="1"/>
    <xf numFmtId="164" fontId="0" fillId="0" borderId="11" xfId="1" applyNumberFormat="1" applyFont="1" applyBorder="1"/>
    <xf numFmtId="165" fontId="2" fillId="0" borderId="0" xfId="2" applyNumberFormat="1" applyFont="1"/>
    <xf numFmtId="165" fontId="0" fillId="0" borderId="0" xfId="2" applyNumberFormat="1" applyFont="1"/>
    <xf numFmtId="0" fontId="8" fillId="0" borderId="0" xfId="0" applyFont="1"/>
    <xf numFmtId="9" fontId="0" fillId="0" borderId="0" xfId="0" applyNumberFormat="1"/>
    <xf numFmtId="44" fontId="0" fillId="0" borderId="0" xfId="2" applyFont="1"/>
    <xf numFmtId="165" fontId="0" fillId="0" borderId="0" xfId="0" applyNumberFormat="1"/>
    <xf numFmtId="165" fontId="0" fillId="0" borderId="10" xfId="0" applyNumberFormat="1" applyBorder="1"/>
    <xf numFmtId="0" fontId="0" fillId="0" borderId="0" xfId="2" applyNumberFormat="1" applyFont="1" applyBorder="1"/>
    <xf numFmtId="0" fontId="6" fillId="0" borderId="0" xfId="2" applyNumberFormat="1" applyFont="1" applyBorder="1"/>
    <xf numFmtId="0" fontId="6" fillId="0" borderId="0" xfId="0" applyFont="1"/>
    <xf numFmtId="0" fontId="9" fillId="0" borderId="0" xfId="0" applyFont="1"/>
    <xf numFmtId="0" fontId="0" fillId="0" borderId="10" xfId="0" applyBorder="1"/>
    <xf numFmtId="0" fontId="7" fillId="0" borderId="0" xfId="4" applyAlignment="1">
      <alignment horizontal="fill"/>
    </xf>
    <xf numFmtId="2" fontId="0" fillId="0" borderId="0" xfId="0" applyNumberFormat="1"/>
    <xf numFmtId="164" fontId="9" fillId="0" borderId="0" xfId="1" applyNumberFormat="1" applyFont="1"/>
    <xf numFmtId="165" fontId="3" fillId="0" borderId="0" xfId="2" applyNumberFormat="1" applyFont="1" applyBorder="1"/>
    <xf numFmtId="43" fontId="0" fillId="0" borderId="10" xfId="1" applyFont="1" applyBorder="1"/>
    <xf numFmtId="1" fontId="6" fillId="0" borderId="0" xfId="0" applyNumberFormat="1" applyFont="1"/>
    <xf numFmtId="165" fontId="6" fillId="0" borderId="0" xfId="2" applyNumberFormat="1" applyFont="1" applyBorder="1"/>
    <xf numFmtId="164" fontId="6" fillId="0" borderId="0" xfId="1" applyNumberFormat="1" applyFont="1"/>
    <xf numFmtId="43" fontId="0" fillId="0" borderId="0" xfId="2" applyNumberFormat="1" applyFont="1" applyBorder="1"/>
    <xf numFmtId="166" fontId="5" fillId="0" borderId="0" xfId="0" applyNumberFormat="1" applyFont="1"/>
    <xf numFmtId="165" fontId="2" fillId="0" borderId="0" xfId="0" applyNumberFormat="1" applyFont="1"/>
    <xf numFmtId="164" fontId="8" fillId="0" borderId="0" xfId="0" applyNumberFormat="1" applyFont="1"/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0" fontId="7" fillId="0" borderId="0" xfId="4" applyAlignment="1">
      <alignment horizontal="left" vertical="center"/>
    </xf>
    <xf numFmtId="44" fontId="0" fillId="0" borderId="0" xfId="0" applyNumberFormat="1"/>
  </cellXfs>
  <cellStyles count="5">
    <cellStyle name="Comma" xfId="1" builtinId="3"/>
    <cellStyle name="Currency" xfId="2" builtinId="4"/>
    <cellStyle name="Hyperlink" xfId="4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Roblox</a:t>
            </a:r>
            <a:r>
              <a:rPr lang="en-GB" baseline="0"/>
              <a:t> skatepark players (in thousands)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'Roblox SkatePark + Olympics'!$C$21:$I$21</c:f>
              <c:numCache>
                <c:formatCode>General</c:formatCode>
                <c:ptCount val="7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</c:numCache>
            </c:numRef>
          </c:cat>
          <c:val>
            <c:numRef>
              <c:f>'Roblox SkatePark + Olympics'!$C$22:$I$22</c:f>
              <c:numCache>
                <c:formatCode>_(* #,##0_);_(* \(#,##0\);_(* "-"??_);_(@_)</c:formatCode>
                <c:ptCount val="7"/>
                <c:pt idx="0">
                  <c:v>50000</c:v>
                </c:pt>
                <c:pt idx="1">
                  <c:v>600000</c:v>
                </c:pt>
                <c:pt idx="2">
                  <c:v>200000</c:v>
                </c:pt>
                <c:pt idx="3">
                  <c:v>240000</c:v>
                </c:pt>
                <c:pt idx="4">
                  <c:v>300000</c:v>
                </c:pt>
                <c:pt idx="5">
                  <c:v>1000000</c:v>
                </c:pt>
                <c:pt idx="6">
                  <c:v>350000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BE-44BD-AB83-C04CDAE3C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9182904"/>
        <c:axId val="639185144"/>
      </c:lineChart>
      <c:catAx>
        <c:axId val="639182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185144"/>
        <c:crosses val="autoZero"/>
        <c:auto val="1"/>
        <c:lblAlgn val="ctr"/>
        <c:lblOffset val="100"/>
        <c:noMultiLvlLbl val="0"/>
      </c:catAx>
      <c:valAx>
        <c:axId val="639185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182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5A-4010-B1FC-CD4414BD77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5A-4010-B1FC-CD4414BD773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B5A-4010-B1FC-CD4414BD77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'Influencer Campaign'!$B$11:$B$13</c:f>
              <c:strCache>
                <c:ptCount val="3"/>
                <c:pt idx="0">
                  <c:v>Influencer costs</c:v>
                </c:pt>
                <c:pt idx="1">
                  <c:v>Content strategy</c:v>
                </c:pt>
                <c:pt idx="2">
                  <c:v>Offline marketing campaign</c:v>
                </c:pt>
              </c:strCache>
            </c:strRef>
          </c:cat>
          <c:val>
            <c:numRef>
              <c:f>'Influencer Campaign'!$C$11:$C$13</c:f>
              <c:numCache>
                <c:formatCode>_("$"* #,##0_);_("$"* \(#,##0\);_("$"* "-"??_);_(@_)</c:formatCode>
                <c:ptCount val="3"/>
                <c:pt idx="0">
                  <c:v>270000</c:v>
                </c:pt>
                <c:pt idx="1">
                  <c:v>60000</c:v>
                </c:pt>
                <c:pt idx="2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B9-4557-8154-48BB5A9E9B4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2380</xdr:colOff>
      <xdr:row>32</xdr:row>
      <xdr:rowOff>92869</xdr:rowOff>
    </xdr:from>
    <xdr:to>
      <xdr:col>11</xdr:col>
      <xdr:colOff>1054892</xdr:colOff>
      <xdr:row>47</xdr:row>
      <xdr:rowOff>121444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B57821-B940-805D-3A2D-762ED8DE1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288130</xdr:colOff>
      <xdr:row>3</xdr:row>
      <xdr:rowOff>145256</xdr:rowOff>
    </xdr:from>
    <xdr:to>
      <xdr:col>14</xdr:col>
      <xdr:colOff>516730</xdr:colOff>
      <xdr:row>18</xdr:row>
      <xdr:rowOff>173831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48ADC3-8873-3883-5C80-AAB148F8E4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EJASWA JITENDRA" id="{EE809977-3E64-47C1-AEE7-6848388E1541}" userId="S::tejaswaljg14.comp@coep.ac.in::d7d17a7e-edf2-4db8-8b3e-82dad47a9e5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0" dT="2023-02-16T15:10:00.60" personId="{EE809977-3E64-47C1-AEE7-6848388E1541}" id="{7E619180-6B68-4D6B-8160-CD91D13B4DE2}">
    <text>Turn this into a straight line function instead of picking nearest tier</text>
  </threadedComment>
  <threadedComment ref="H27" dT="2023-02-16T15:09:24.66" personId="{EE809977-3E64-47C1-AEE7-6848388E1541}" id="{C62FAA69-D26A-4008-8677-2F71C81AA5B6}">
    <text>There will be overlap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hythminfluence.com/influencer-marketing-roi-and-analytics" TargetMode="External"/><Relationship Id="rId2" Type="http://schemas.openxmlformats.org/officeDocument/2006/relationships/hyperlink" Target="https://www.roblox.com/games/6679274937/Vans-World" TargetMode="External"/><Relationship Id="rId1" Type="http://schemas.openxmlformats.org/officeDocument/2006/relationships/hyperlink" Target="https://naavik.co/digest/roblox-developer-unit-economic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www.freelanceformulations.com/post/what-is-the-average-profit-margin-of-the-cosmetic-industry" TargetMode="External"/><Relationship Id="rId1" Type="http://schemas.openxmlformats.org/officeDocument/2006/relationships/hyperlink" Target="https://www.salontoday.com/1082057/new-study-evaluates-american-spending-on-beauty-fitness-and-wellness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EEBA3-399D-40A0-A797-ED68863B6D03}">
  <dimension ref="A1:M35"/>
  <sheetViews>
    <sheetView tabSelected="1" workbookViewId="0">
      <selection activeCell="I8" sqref="I8"/>
    </sheetView>
  </sheetViews>
  <sheetFormatPr defaultRowHeight="14.25" x14ac:dyDescent="0.45"/>
  <cols>
    <col min="2" max="2" width="23.33203125" bestFit="1" customWidth="1"/>
    <col min="3" max="3" width="14.06640625" customWidth="1"/>
    <col min="4" max="4" width="14" customWidth="1"/>
    <col min="5" max="7" width="10.86328125" bestFit="1" customWidth="1"/>
    <col min="8" max="8" width="12.6640625" customWidth="1"/>
    <col min="9" max="9" width="10.86328125" bestFit="1" customWidth="1"/>
    <col min="10" max="10" width="10.53125" customWidth="1"/>
    <col min="12" max="12" width="15" bestFit="1" customWidth="1"/>
  </cols>
  <sheetData>
    <row r="1" spans="1:11" x14ac:dyDescent="0.45">
      <c r="A1" s="50"/>
      <c r="C1" s="55"/>
    </row>
    <row r="2" spans="1:11" x14ac:dyDescent="0.45">
      <c r="B2" s="1" t="s">
        <v>46</v>
      </c>
      <c r="C2" s="55"/>
    </row>
    <row r="3" spans="1:11" x14ac:dyDescent="0.45">
      <c r="B3" t="s">
        <v>48</v>
      </c>
      <c r="C3" s="66">
        <v>120000</v>
      </c>
      <c r="D3" t="s">
        <v>52</v>
      </c>
      <c r="E3" s="60" t="s">
        <v>47</v>
      </c>
    </row>
    <row r="4" spans="1:11" x14ac:dyDescent="0.45">
      <c r="B4" t="s">
        <v>53</v>
      </c>
      <c r="C4" s="66">
        <v>20</v>
      </c>
      <c r="D4" t="s">
        <v>54</v>
      </c>
      <c r="E4" s="11"/>
    </row>
    <row r="5" spans="1:11" x14ac:dyDescent="0.45">
      <c r="C5" s="56"/>
      <c r="E5" s="11"/>
    </row>
    <row r="6" spans="1:11" x14ac:dyDescent="0.45">
      <c r="B6" s="1" t="s">
        <v>80</v>
      </c>
      <c r="C6" s="56"/>
      <c r="E6" s="11"/>
    </row>
    <row r="7" spans="1:11" x14ac:dyDescent="0.45">
      <c r="B7" t="s">
        <v>81</v>
      </c>
      <c r="C7" s="56">
        <v>4</v>
      </c>
      <c r="E7" s="11"/>
    </row>
    <row r="8" spans="1:11" x14ac:dyDescent="0.45">
      <c r="B8" t="s">
        <v>82</v>
      </c>
      <c r="C8" s="66">
        <v>20000</v>
      </c>
      <c r="E8" s="11"/>
    </row>
    <row r="9" spans="1:11" x14ac:dyDescent="0.45">
      <c r="B9" t="s">
        <v>83</v>
      </c>
      <c r="C9" s="66">
        <f>C7*C8</f>
        <v>80000</v>
      </c>
      <c r="E9" s="11"/>
    </row>
    <row r="10" spans="1:11" x14ac:dyDescent="0.45">
      <c r="C10" s="55"/>
    </row>
    <row r="11" spans="1:11" x14ac:dyDescent="0.45">
      <c r="B11" s="1" t="s">
        <v>49</v>
      </c>
      <c r="C11" s="55"/>
    </row>
    <row r="12" spans="1:11" x14ac:dyDescent="0.45">
      <c r="B12" t="s">
        <v>50</v>
      </c>
      <c r="C12" s="66">
        <v>10</v>
      </c>
      <c r="E12" s="53"/>
    </row>
    <row r="13" spans="1:11" x14ac:dyDescent="0.45">
      <c r="B13" t="s">
        <v>51</v>
      </c>
      <c r="C13" s="56">
        <v>9</v>
      </c>
    </row>
    <row r="14" spans="1:11" x14ac:dyDescent="0.45">
      <c r="C14" s="1">
        <v>2023</v>
      </c>
      <c r="D14" s="1">
        <v>2024</v>
      </c>
      <c r="E14" s="1">
        <v>2025</v>
      </c>
      <c r="F14" s="1">
        <v>2026</v>
      </c>
      <c r="G14" s="1">
        <v>2027</v>
      </c>
      <c r="H14" s="1">
        <v>2028</v>
      </c>
      <c r="I14" s="1">
        <v>2029</v>
      </c>
    </row>
    <row r="15" spans="1:11" x14ac:dyDescent="0.45">
      <c r="B15" t="s">
        <v>87</v>
      </c>
      <c r="C15" s="68">
        <f t="shared" ref="C15:I15" si="0">C22/($J$15*$M$30)</f>
        <v>1.5</v>
      </c>
      <c r="D15" s="68">
        <f t="shared" si="0"/>
        <v>18</v>
      </c>
      <c r="E15" s="68">
        <f t="shared" si="0"/>
        <v>6</v>
      </c>
      <c r="F15" s="68">
        <f t="shared" si="0"/>
        <v>7.1999999999999993</v>
      </c>
      <c r="G15" s="68">
        <f t="shared" si="0"/>
        <v>9</v>
      </c>
      <c r="H15" s="68">
        <f t="shared" si="0"/>
        <v>29.999999999999996</v>
      </c>
      <c r="I15" s="68">
        <f t="shared" si="0"/>
        <v>10.5</v>
      </c>
      <c r="J15" s="65">
        <v>5000</v>
      </c>
      <c r="K15" t="s">
        <v>89</v>
      </c>
    </row>
    <row r="16" spans="1:11" x14ac:dyDescent="0.45">
      <c r="B16" t="s">
        <v>67</v>
      </c>
      <c r="C16" s="27">
        <f>C15*$C$13*$C$12*365</f>
        <v>49275</v>
      </c>
      <c r="D16" s="27">
        <f t="shared" ref="D16:I16" si="1">D15*$C$13*$C$12*365</f>
        <v>591300</v>
      </c>
      <c r="E16" s="27">
        <f t="shared" si="1"/>
        <v>197100</v>
      </c>
      <c r="F16" s="27">
        <f t="shared" si="1"/>
        <v>236520</v>
      </c>
      <c r="G16" s="27">
        <f t="shared" si="1"/>
        <v>295650</v>
      </c>
      <c r="H16" s="27">
        <f t="shared" si="1"/>
        <v>985499.99999999988</v>
      </c>
      <c r="I16" s="27">
        <f t="shared" si="1"/>
        <v>344925</v>
      </c>
    </row>
    <row r="17" spans="1:13" x14ac:dyDescent="0.45">
      <c r="B17" s="50" t="s">
        <v>90</v>
      </c>
      <c r="C17" s="71">
        <f>C15*$C$13*365</f>
        <v>4927.5</v>
      </c>
      <c r="D17" s="71">
        <f t="shared" ref="D17:I17" si="2">D15*$C$13*365</f>
        <v>59130</v>
      </c>
      <c r="E17" s="71">
        <f t="shared" si="2"/>
        <v>19710</v>
      </c>
      <c r="F17" s="71">
        <f t="shared" si="2"/>
        <v>23652</v>
      </c>
      <c r="G17" s="71">
        <f t="shared" si="2"/>
        <v>29565</v>
      </c>
      <c r="H17" s="71">
        <f t="shared" si="2"/>
        <v>98549.999999999985</v>
      </c>
      <c r="I17" s="71">
        <f t="shared" si="2"/>
        <v>34492.5</v>
      </c>
      <c r="J17" s="71">
        <f>SUM(C17:I17)</f>
        <v>270027</v>
      </c>
      <c r="K17" s="39">
        <f>H17/365</f>
        <v>269.99999999999994</v>
      </c>
    </row>
    <row r="18" spans="1:13" x14ac:dyDescent="0.45">
      <c r="B18" t="s">
        <v>66</v>
      </c>
      <c r="C18" s="54">
        <f>C3+C4+C16+C9</f>
        <v>249295</v>
      </c>
      <c r="D18" s="54">
        <f>D16+$C$4+$C$9</f>
        <v>671320</v>
      </c>
      <c r="E18" s="54">
        <f t="shared" ref="E18:I18" si="3">E16+$C$4+$C$9</f>
        <v>277120</v>
      </c>
      <c r="F18" s="54">
        <f t="shared" si="3"/>
        <v>316540</v>
      </c>
      <c r="G18" s="54">
        <f t="shared" si="3"/>
        <v>375670</v>
      </c>
      <c r="H18" s="54">
        <f t="shared" si="3"/>
        <v>1065520</v>
      </c>
      <c r="I18" s="54">
        <f t="shared" si="3"/>
        <v>424945</v>
      </c>
    </row>
    <row r="19" spans="1:13" x14ac:dyDescent="0.45">
      <c r="C19" s="53"/>
      <c r="D19" s="53"/>
      <c r="E19" s="53"/>
      <c r="F19" s="53"/>
      <c r="G19" s="53"/>
      <c r="H19" s="53"/>
      <c r="I19" s="53"/>
    </row>
    <row r="20" spans="1:13" x14ac:dyDescent="0.45">
      <c r="L20" s="11" t="s">
        <v>55</v>
      </c>
    </row>
    <row r="21" spans="1:13" x14ac:dyDescent="0.45">
      <c r="C21" s="1">
        <v>2023</v>
      </c>
      <c r="D21" s="1">
        <v>2024</v>
      </c>
      <c r="E21" s="1">
        <v>2025</v>
      </c>
      <c r="F21" s="1">
        <v>2026</v>
      </c>
      <c r="G21" s="1">
        <v>2027</v>
      </c>
      <c r="H21" s="1">
        <v>2028</v>
      </c>
      <c r="I21" s="1">
        <v>2029</v>
      </c>
      <c r="L21" t="s">
        <v>56</v>
      </c>
      <c r="M21">
        <v>2</v>
      </c>
    </row>
    <row r="22" spans="1:13" x14ac:dyDescent="0.45">
      <c r="B22" t="s">
        <v>88</v>
      </c>
      <c r="C22" s="67">
        <v>50000</v>
      </c>
      <c r="D22" s="67">
        <v>600000</v>
      </c>
      <c r="E22" s="67">
        <v>200000</v>
      </c>
      <c r="F22" s="67">
        <v>240000</v>
      </c>
      <c r="G22" s="67">
        <v>300000</v>
      </c>
      <c r="H22" s="67">
        <v>1000000</v>
      </c>
      <c r="I22" s="67">
        <v>350000</v>
      </c>
      <c r="L22" t="s">
        <v>57</v>
      </c>
      <c r="M22">
        <v>617</v>
      </c>
    </row>
    <row r="23" spans="1:13" x14ac:dyDescent="0.45">
      <c r="A23" s="51"/>
      <c r="B23" t="s">
        <v>64</v>
      </c>
      <c r="C23">
        <f>C22*$C$29</f>
        <v>2500</v>
      </c>
      <c r="D23">
        <f t="shared" ref="D23:I23" si="4">D22*$C$29</f>
        <v>30000</v>
      </c>
      <c r="E23">
        <f t="shared" si="4"/>
        <v>10000</v>
      </c>
      <c r="F23">
        <f t="shared" si="4"/>
        <v>12000</v>
      </c>
      <c r="G23">
        <f t="shared" si="4"/>
        <v>15000</v>
      </c>
      <c r="H23">
        <f t="shared" si="4"/>
        <v>50000</v>
      </c>
      <c r="I23">
        <f t="shared" si="4"/>
        <v>17500</v>
      </c>
      <c r="L23" t="s">
        <v>58</v>
      </c>
      <c r="M23">
        <v>91200</v>
      </c>
    </row>
    <row r="24" spans="1:13" x14ac:dyDescent="0.45">
      <c r="B24" t="s">
        <v>65</v>
      </c>
      <c r="C24" s="49">
        <f>C23*$C$30</f>
        <v>227700</v>
      </c>
      <c r="D24" s="49">
        <f t="shared" ref="D24:I24" si="5">D23*$C$30</f>
        <v>2732400</v>
      </c>
      <c r="E24" s="49">
        <f t="shared" si="5"/>
        <v>910800</v>
      </c>
      <c r="F24" s="49">
        <f t="shared" si="5"/>
        <v>1092960</v>
      </c>
      <c r="G24" s="49">
        <f t="shared" si="5"/>
        <v>1366200</v>
      </c>
      <c r="H24" s="49">
        <f t="shared" si="5"/>
        <v>4554000</v>
      </c>
      <c r="I24" s="49">
        <f t="shared" si="5"/>
        <v>1593900</v>
      </c>
      <c r="L24" s="58" t="s">
        <v>59</v>
      </c>
      <c r="M24" s="58">
        <f>M23/M22</f>
        <v>147.81199351701784</v>
      </c>
    </row>
    <row r="25" spans="1:13" x14ac:dyDescent="0.45">
      <c r="B25" t="s">
        <v>74</v>
      </c>
      <c r="C25" s="53">
        <f>C24*'Influencer Campaign'!$I$6</f>
        <v>68310</v>
      </c>
      <c r="D25" s="53">
        <f>D24*'Influencer Campaign'!$I$6</f>
        <v>819720</v>
      </c>
      <c r="E25" s="53">
        <f>E24*'Influencer Campaign'!$I$6</f>
        <v>273240</v>
      </c>
      <c r="F25" s="53">
        <f>F24*'Influencer Campaign'!$I$6</f>
        <v>327888</v>
      </c>
      <c r="G25" s="53">
        <f>G24*'Influencer Campaign'!$I$6</f>
        <v>409860</v>
      </c>
      <c r="H25" s="53">
        <f>H24*'Influencer Campaign'!$I$6</f>
        <v>1366200</v>
      </c>
      <c r="I25" s="53">
        <f>I24*'Influencer Campaign'!$I$6</f>
        <v>478170</v>
      </c>
      <c r="L25" t="s">
        <v>60</v>
      </c>
      <c r="M25">
        <v>0.42</v>
      </c>
    </row>
    <row r="26" spans="1:13" x14ac:dyDescent="0.45">
      <c r="L26" t="s">
        <v>61</v>
      </c>
      <c r="M26" s="57">
        <v>0.5</v>
      </c>
    </row>
    <row r="27" spans="1:13" x14ac:dyDescent="0.45">
      <c r="B27" s="59" t="s">
        <v>75</v>
      </c>
      <c r="C27" s="54">
        <f>C25-C18</f>
        <v>-180985</v>
      </c>
      <c r="D27" s="54">
        <f>D25-D18</f>
        <v>148400</v>
      </c>
      <c r="E27" s="54">
        <f t="shared" ref="E27:I27" si="6">E25-E18</f>
        <v>-3880</v>
      </c>
      <c r="F27" s="54">
        <f t="shared" si="6"/>
        <v>11348</v>
      </c>
      <c r="G27" s="54">
        <f t="shared" si="6"/>
        <v>34190</v>
      </c>
      <c r="H27" s="54">
        <f t="shared" si="6"/>
        <v>300680</v>
      </c>
      <c r="I27" s="54">
        <f t="shared" si="6"/>
        <v>53225</v>
      </c>
      <c r="J27" s="70">
        <f>SUM(C27:I27)</f>
        <v>362978</v>
      </c>
      <c r="M27" s="57"/>
    </row>
    <row r="28" spans="1:13" x14ac:dyDescent="0.45">
      <c r="L28" t="s">
        <v>62</v>
      </c>
      <c r="M28">
        <f>M25*12/M26</f>
        <v>10.08</v>
      </c>
    </row>
    <row r="29" spans="1:13" x14ac:dyDescent="0.45">
      <c r="B29" t="s">
        <v>63</v>
      </c>
      <c r="C29" s="9">
        <v>0.05</v>
      </c>
      <c r="L29" t="s">
        <v>85</v>
      </c>
      <c r="M29" s="9">
        <v>0.15</v>
      </c>
    </row>
    <row r="30" spans="1:13" x14ac:dyDescent="0.45">
      <c r="B30" t="s">
        <v>71</v>
      </c>
      <c r="C30" s="52">
        <f>'Influencer Campaign'!L35</f>
        <v>91.08</v>
      </c>
      <c r="L30" t="s">
        <v>86</v>
      </c>
      <c r="M30" s="69">
        <f>1/M29</f>
        <v>6.666666666666667</v>
      </c>
    </row>
    <row r="31" spans="1:13" x14ac:dyDescent="0.45">
      <c r="C31" s="1" t="s">
        <v>92</v>
      </c>
      <c r="D31" s="1" t="s">
        <v>91</v>
      </c>
      <c r="L31" t="s">
        <v>84</v>
      </c>
      <c r="M31" s="61">
        <f>M28*M30</f>
        <v>67.2</v>
      </c>
    </row>
    <row r="32" spans="1:13" x14ac:dyDescent="0.45">
      <c r="B32" s="1" t="s">
        <v>73</v>
      </c>
      <c r="C32" s="53">
        <f>SUM(C24:I24)</f>
        <v>12477960</v>
      </c>
      <c r="D32" s="53">
        <f>C32/7</f>
        <v>1782565.7142857143</v>
      </c>
    </row>
    <row r="33" spans="2:4" x14ac:dyDescent="0.45">
      <c r="B33" s="1" t="s">
        <v>66</v>
      </c>
      <c r="C33" s="53">
        <f>SUM(C18:I18)</f>
        <v>3380410</v>
      </c>
      <c r="D33" s="53">
        <f>C33/7</f>
        <v>482915.71428571426</v>
      </c>
    </row>
    <row r="34" spans="2:4" x14ac:dyDescent="0.45">
      <c r="B34" s="1" t="s">
        <v>78</v>
      </c>
      <c r="C34" s="61">
        <f>C32/C33</f>
        <v>3.691256386059679</v>
      </c>
      <c r="D34" s="60" t="s">
        <v>72</v>
      </c>
    </row>
    <row r="35" spans="2:4" x14ac:dyDescent="0.45">
      <c r="B35" s="1" t="s">
        <v>94</v>
      </c>
      <c r="D35" s="75">
        <f>SUM(C25:I25)/7</f>
        <v>534769.71428571432</v>
      </c>
    </row>
  </sheetData>
  <hyperlinks>
    <hyperlink ref="E3" r:id="rId1" display="https://naavik.co/digest/roblox-developer-unit-economics" xr:uid="{1FF643FE-7708-442E-AB25-1784A6E4B3D4}"/>
    <hyperlink ref="L20" r:id="rId2" xr:uid="{D652C80E-8448-498C-9C2D-94084E287864}"/>
    <hyperlink ref="D34" r:id="rId3" xr:uid="{ACFAB7E1-84BF-4559-AF84-FA89C0583371}"/>
  </hyperlinks>
  <pageMargins left="0.7" right="0.7" top="0.75" bottom="0.75" header="0.3" footer="0.3"/>
  <pageSetup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43"/>
  <sheetViews>
    <sheetView workbookViewId="0">
      <selection activeCell="C4" sqref="C4"/>
    </sheetView>
  </sheetViews>
  <sheetFormatPr defaultRowHeight="14.25" x14ac:dyDescent="0.45"/>
  <cols>
    <col min="2" max="2" width="22.86328125" bestFit="1" customWidth="1"/>
    <col min="3" max="3" width="16.33203125" customWidth="1"/>
    <col min="4" max="4" width="9.86328125" bestFit="1" customWidth="1"/>
    <col min="7" max="7" width="14.73046875" customWidth="1"/>
    <col min="8" max="8" width="9.86328125" bestFit="1" customWidth="1"/>
    <col min="9" max="9" width="11.86328125" bestFit="1" customWidth="1"/>
    <col min="10" max="10" width="9.86328125" bestFit="1" customWidth="1"/>
    <col min="12" max="12" width="11.86328125" bestFit="1" customWidth="1"/>
  </cols>
  <sheetData>
    <row r="1" spans="2:10" x14ac:dyDescent="0.45">
      <c r="D1">
        <v>1</v>
      </c>
      <c r="E1">
        <v>2</v>
      </c>
      <c r="F1">
        <v>3</v>
      </c>
      <c r="G1">
        <v>4</v>
      </c>
      <c r="H1">
        <v>5</v>
      </c>
    </row>
    <row r="2" spans="2:10" x14ac:dyDescent="0.45">
      <c r="B2" s="35"/>
      <c r="C2" s="3">
        <v>2023</v>
      </c>
      <c r="D2" s="3">
        <v>2024</v>
      </c>
      <c r="E2" s="3">
        <v>2025</v>
      </c>
      <c r="F2" s="43">
        <v>2026</v>
      </c>
      <c r="G2" s="1">
        <v>2027</v>
      </c>
      <c r="H2" s="1">
        <v>2028</v>
      </c>
    </row>
    <row r="3" spans="2:10" x14ac:dyDescent="0.45">
      <c r="B3" s="15"/>
      <c r="F3" s="16"/>
    </row>
    <row r="4" spans="2:10" x14ac:dyDescent="0.45">
      <c r="B4" s="15" t="s">
        <v>33</v>
      </c>
      <c r="C4" s="5">
        <f>H27*C29*C30</f>
        <v>26752.5</v>
      </c>
      <c r="D4" s="39">
        <f>C4*$C$35</f>
        <v>4012.875</v>
      </c>
      <c r="E4" s="39">
        <f>D4*$C$35</f>
        <v>601.93124999999998</v>
      </c>
      <c r="F4" s="44">
        <f t="shared" ref="F4:H4" si="0">E4*$C$35</f>
        <v>90.289687499999999</v>
      </c>
      <c r="G4" s="39">
        <f t="shared" si="0"/>
        <v>13.543453124999999</v>
      </c>
      <c r="H4" s="39">
        <f t="shared" si="0"/>
        <v>2.0315179687499998</v>
      </c>
    </row>
    <row r="5" spans="2:10" x14ac:dyDescent="0.45">
      <c r="B5" s="17" t="s">
        <v>42</v>
      </c>
      <c r="C5" s="18">
        <f>C4*$L$37</f>
        <v>3045772.125</v>
      </c>
      <c r="D5" s="18">
        <f t="shared" ref="D5:H5" si="1">D4*$L$37</f>
        <v>456865.81874999998</v>
      </c>
      <c r="E5" s="18">
        <f t="shared" si="1"/>
        <v>68529.872812499991</v>
      </c>
      <c r="F5" s="45">
        <f t="shared" si="1"/>
        <v>10279.480921875</v>
      </c>
      <c r="G5" s="2">
        <f t="shared" si="1"/>
        <v>1541.9221382812498</v>
      </c>
      <c r="H5" s="2">
        <f t="shared" si="1"/>
        <v>231.28832074218747</v>
      </c>
    </row>
    <row r="6" spans="2:10" x14ac:dyDescent="0.45">
      <c r="B6" s="17" t="s">
        <v>44</v>
      </c>
      <c r="C6" s="18">
        <f>C5*$I$6</f>
        <v>913731.63749999995</v>
      </c>
      <c r="D6" s="18">
        <f t="shared" ref="D6:H6" si="2">D5*$I$6</f>
        <v>137059.74562499998</v>
      </c>
      <c r="E6" s="18">
        <f t="shared" si="2"/>
        <v>20558.961843749996</v>
      </c>
      <c r="F6" s="45">
        <f t="shared" si="2"/>
        <v>3083.8442765625</v>
      </c>
      <c r="G6" s="2">
        <f t="shared" si="2"/>
        <v>462.57664148437493</v>
      </c>
      <c r="H6" s="2">
        <f t="shared" si="2"/>
        <v>69.386496222656234</v>
      </c>
      <c r="I6" s="9">
        <v>0.3</v>
      </c>
      <c r="J6" s="60" t="s">
        <v>45</v>
      </c>
    </row>
    <row r="7" spans="2:10" x14ac:dyDescent="0.45">
      <c r="B7" s="17" t="s">
        <v>76</v>
      </c>
      <c r="C7" s="18">
        <f>SUM(C6:H6)</f>
        <v>1074966.1523830194</v>
      </c>
      <c r="D7" s="18"/>
      <c r="E7" s="18"/>
      <c r="F7" s="45"/>
      <c r="G7" s="2"/>
      <c r="H7" s="2"/>
      <c r="I7" s="9"/>
      <c r="J7" s="11"/>
    </row>
    <row r="8" spans="2:10" x14ac:dyDescent="0.45">
      <c r="B8" s="17" t="s">
        <v>77</v>
      </c>
      <c r="C8" s="18">
        <f>SUM(C5:H5)</f>
        <v>3583220.5079433983</v>
      </c>
      <c r="D8" s="18">
        <f>C8/4</f>
        <v>895805.12698584958</v>
      </c>
      <c r="E8" s="18"/>
      <c r="F8" s="45"/>
      <c r="G8" s="2"/>
      <c r="H8" s="2"/>
      <c r="I8" s="9"/>
      <c r="J8" s="11"/>
    </row>
    <row r="9" spans="2:10" x14ac:dyDescent="0.45">
      <c r="B9" s="17"/>
      <c r="C9" s="18"/>
      <c r="D9" s="18"/>
      <c r="E9" s="18"/>
      <c r="F9" s="45"/>
      <c r="G9" s="2"/>
      <c r="H9" s="2"/>
      <c r="I9" s="5"/>
    </row>
    <row r="10" spans="2:10" x14ac:dyDescent="0.45">
      <c r="B10" s="15" t="s">
        <v>43</v>
      </c>
      <c r="C10" s="18"/>
      <c r="D10" s="18" t="s">
        <v>93</v>
      </c>
      <c r="E10" s="18"/>
      <c r="F10" s="45"/>
      <c r="G10" s="2"/>
      <c r="H10" s="2"/>
    </row>
    <row r="11" spans="2:10" x14ac:dyDescent="0.45">
      <c r="B11" s="17" t="s">
        <v>0</v>
      </c>
      <c r="C11" s="27">
        <f>L27</f>
        <v>270000</v>
      </c>
      <c r="D11" s="18"/>
      <c r="E11" s="18"/>
      <c r="F11" s="45"/>
      <c r="G11" s="2"/>
      <c r="H11" s="2"/>
    </row>
    <row r="12" spans="2:10" x14ac:dyDescent="0.45">
      <c r="B12" s="17" t="s">
        <v>1</v>
      </c>
      <c r="C12" s="27">
        <f>H34*12</f>
        <v>60000</v>
      </c>
      <c r="D12" s="18"/>
      <c r="E12" s="18"/>
      <c r="F12" s="45"/>
      <c r="G12" s="2"/>
      <c r="H12" s="2"/>
    </row>
    <row r="13" spans="2:10" x14ac:dyDescent="0.45">
      <c r="B13" s="17" t="s">
        <v>2</v>
      </c>
      <c r="C13" s="63">
        <v>100000</v>
      </c>
      <c r="D13" s="18"/>
      <c r="E13" s="18"/>
      <c r="F13" s="45"/>
      <c r="G13" s="2"/>
      <c r="H13" s="2"/>
    </row>
    <row r="14" spans="2:10" x14ac:dyDescent="0.45">
      <c r="B14" s="17" t="s">
        <v>3</v>
      </c>
      <c r="C14" s="18">
        <f>SUM(C11:C13)</f>
        <v>430000</v>
      </c>
      <c r="D14" s="18"/>
      <c r="E14" s="18"/>
      <c r="F14" s="45"/>
      <c r="G14" s="2"/>
      <c r="H14" s="2"/>
    </row>
    <row r="15" spans="2:10" x14ac:dyDescent="0.45">
      <c r="B15" s="17"/>
      <c r="C15" s="18"/>
      <c r="D15" s="18"/>
      <c r="E15" s="18"/>
      <c r="F15" s="45"/>
      <c r="G15" s="2"/>
      <c r="H15" s="2"/>
    </row>
    <row r="16" spans="2:10" x14ac:dyDescent="0.45">
      <c r="B16" s="23" t="s">
        <v>78</v>
      </c>
      <c r="C16" s="64">
        <f>C8/C14</f>
        <v>8.3330709487055774</v>
      </c>
      <c r="D16" s="46"/>
      <c r="E16" s="46"/>
      <c r="F16" s="47"/>
      <c r="G16" s="4"/>
      <c r="H16" s="4"/>
      <c r="I16" s="48"/>
      <c r="J16" s="42"/>
    </row>
    <row r="18" spans="2:13" x14ac:dyDescent="0.45">
      <c r="M18" t="s">
        <v>4</v>
      </c>
    </row>
    <row r="20" spans="2:13" x14ac:dyDescent="0.45">
      <c r="B20" s="12" t="s">
        <v>5</v>
      </c>
      <c r="C20" s="13"/>
      <c r="D20" s="14"/>
      <c r="G20" s="23" t="s">
        <v>6</v>
      </c>
      <c r="H20" s="24" t="s">
        <v>7</v>
      </c>
      <c r="I20" s="24" t="s">
        <v>8</v>
      </c>
      <c r="J20" s="24" t="s">
        <v>9</v>
      </c>
      <c r="K20" s="24" t="s">
        <v>10</v>
      </c>
      <c r="L20" s="25" t="s">
        <v>11</v>
      </c>
    </row>
    <row r="21" spans="2:13" x14ac:dyDescent="0.45">
      <c r="B21" s="15"/>
      <c r="C21" t="s">
        <v>7</v>
      </c>
      <c r="D21" s="16" t="s">
        <v>12</v>
      </c>
      <c r="G21" s="17" t="s">
        <v>13</v>
      </c>
      <c r="H21" s="26">
        <v>51900</v>
      </c>
      <c r="I21" t="s">
        <v>14</v>
      </c>
      <c r="J21" s="27">
        <f>$D$23</f>
        <v>1500</v>
      </c>
      <c r="K21">
        <f>$H$33</f>
        <v>20</v>
      </c>
      <c r="L21" s="19">
        <f t="shared" ref="L21:L26" si="3">J21*K21</f>
        <v>30000</v>
      </c>
    </row>
    <row r="22" spans="2:13" x14ac:dyDescent="0.45">
      <c r="B22" s="17" t="s">
        <v>15</v>
      </c>
      <c r="C22" s="18">
        <v>5000</v>
      </c>
      <c r="D22" s="19">
        <v>800</v>
      </c>
      <c r="G22" s="17" t="s">
        <v>26</v>
      </c>
      <c r="H22" s="26">
        <v>92400</v>
      </c>
      <c r="I22" t="s">
        <v>14</v>
      </c>
      <c r="J22" s="27">
        <f t="shared" ref="J22:J23" si="4">$D$23</f>
        <v>1500</v>
      </c>
      <c r="K22">
        <f t="shared" ref="K22:K26" si="5">$H$33</f>
        <v>20</v>
      </c>
      <c r="L22" s="19">
        <f t="shared" si="3"/>
        <v>30000</v>
      </c>
    </row>
    <row r="23" spans="2:13" x14ac:dyDescent="0.45">
      <c r="B23" s="17" t="s">
        <v>14</v>
      </c>
      <c r="C23" s="18">
        <v>30000</v>
      </c>
      <c r="D23" s="19">
        <v>1500</v>
      </c>
      <c r="G23" s="17" t="s">
        <v>27</v>
      </c>
      <c r="H23" s="26">
        <v>42200</v>
      </c>
      <c r="I23" t="s">
        <v>14</v>
      </c>
      <c r="J23" s="27">
        <f t="shared" si="4"/>
        <v>1500</v>
      </c>
      <c r="K23">
        <f t="shared" si="5"/>
        <v>20</v>
      </c>
      <c r="L23" s="19">
        <f t="shared" si="3"/>
        <v>30000</v>
      </c>
    </row>
    <row r="24" spans="2:13" x14ac:dyDescent="0.45">
      <c r="B24" s="17" t="s">
        <v>16</v>
      </c>
      <c r="C24" s="18">
        <v>200000</v>
      </c>
      <c r="D24" s="19">
        <v>3000</v>
      </c>
      <c r="G24" s="17" t="s">
        <v>28</v>
      </c>
      <c r="H24" s="26">
        <v>155000</v>
      </c>
      <c r="I24" t="s">
        <v>16</v>
      </c>
      <c r="J24" s="27">
        <f>$D$24</f>
        <v>3000</v>
      </c>
      <c r="K24">
        <f t="shared" si="5"/>
        <v>20</v>
      </c>
      <c r="L24" s="19">
        <f t="shared" si="3"/>
        <v>60000</v>
      </c>
    </row>
    <row r="25" spans="2:13" x14ac:dyDescent="0.45">
      <c r="B25" s="17" t="s">
        <v>17</v>
      </c>
      <c r="C25" s="18">
        <v>800000</v>
      </c>
      <c r="D25" s="19">
        <v>5000</v>
      </c>
      <c r="G25" s="17" t="s">
        <v>29</v>
      </c>
      <c r="H25" s="26">
        <v>153000</v>
      </c>
      <c r="I25" t="s">
        <v>16</v>
      </c>
      <c r="J25" s="27">
        <f t="shared" ref="J25:J26" si="6">$D$24</f>
        <v>3000</v>
      </c>
      <c r="K25">
        <f t="shared" si="5"/>
        <v>20</v>
      </c>
      <c r="L25" s="19">
        <f t="shared" si="3"/>
        <v>60000</v>
      </c>
    </row>
    <row r="26" spans="2:13" x14ac:dyDescent="0.45">
      <c r="B26" s="20" t="s">
        <v>18</v>
      </c>
      <c r="C26" s="21">
        <v>2000000</v>
      </c>
      <c r="D26" s="22">
        <v>7000</v>
      </c>
      <c r="G26" s="17" t="s">
        <v>30</v>
      </c>
      <c r="H26" s="26">
        <v>100000</v>
      </c>
      <c r="I26" t="s">
        <v>16</v>
      </c>
      <c r="J26" s="27">
        <f t="shared" si="6"/>
        <v>3000</v>
      </c>
      <c r="K26">
        <f t="shared" si="5"/>
        <v>20</v>
      </c>
      <c r="L26" s="19">
        <f t="shared" si="3"/>
        <v>60000</v>
      </c>
    </row>
    <row r="27" spans="2:13" x14ac:dyDescent="0.45">
      <c r="G27" s="20" t="s">
        <v>19</v>
      </c>
      <c r="H27" s="28">
        <f>SUM(H21:H26)</f>
        <v>594500</v>
      </c>
      <c r="I27" s="21"/>
      <c r="J27" s="21"/>
      <c r="K27" s="21"/>
      <c r="L27" s="29">
        <f>SUM(L21:L26)</f>
        <v>270000</v>
      </c>
    </row>
    <row r="28" spans="2:13" x14ac:dyDescent="0.45">
      <c r="H28" s="5"/>
      <c r="L28" s="6"/>
    </row>
    <row r="29" spans="2:13" x14ac:dyDescent="0.45">
      <c r="B29" t="s">
        <v>20</v>
      </c>
      <c r="C29" s="7">
        <v>0.15</v>
      </c>
      <c r="J29" s="12" t="s">
        <v>22</v>
      </c>
      <c r="K29" s="13"/>
      <c r="L29" s="14"/>
    </row>
    <row r="30" spans="2:13" x14ac:dyDescent="0.45">
      <c r="B30" t="s">
        <v>21</v>
      </c>
      <c r="C30" s="7">
        <v>0.3</v>
      </c>
      <c r="J30" s="72" t="s">
        <v>34</v>
      </c>
      <c r="K30" s="73"/>
      <c r="L30" s="16"/>
    </row>
    <row r="31" spans="2:13" x14ac:dyDescent="0.45">
      <c r="C31" s="10"/>
      <c r="J31" s="72"/>
      <c r="K31" s="73"/>
      <c r="L31" s="19">
        <v>110</v>
      </c>
      <c r="M31" s="74" t="s">
        <v>40</v>
      </c>
    </row>
    <row r="32" spans="2:13" x14ac:dyDescent="0.45">
      <c r="B32" t="s">
        <v>32</v>
      </c>
      <c r="C32" s="40">
        <f>C14/C4</f>
        <v>16.073264180917672</v>
      </c>
      <c r="G32" s="1" t="s">
        <v>41</v>
      </c>
      <c r="J32" s="72" t="s">
        <v>35</v>
      </c>
      <c r="K32" s="73"/>
      <c r="L32" s="30">
        <v>0.23</v>
      </c>
      <c r="M32" s="74"/>
    </row>
    <row r="33" spans="2:12" x14ac:dyDescent="0.45">
      <c r="C33" s="8"/>
      <c r="G33" s="35" t="s">
        <v>23</v>
      </c>
      <c r="H33" s="36">
        <v>20</v>
      </c>
      <c r="J33" s="72" t="s">
        <v>36</v>
      </c>
      <c r="K33" s="73"/>
      <c r="L33" s="31">
        <v>0.3</v>
      </c>
    </row>
    <row r="34" spans="2:12" ht="28.5" x14ac:dyDescent="0.45">
      <c r="B34" s="1" t="s">
        <v>31</v>
      </c>
      <c r="C34" s="41">
        <f>L37/C32</f>
        <v>7.0831909883720927</v>
      </c>
      <c r="G34" s="37" t="s">
        <v>24</v>
      </c>
      <c r="H34" s="38">
        <v>5000</v>
      </c>
      <c r="J34" s="72" t="s">
        <v>37</v>
      </c>
      <c r="K34" s="73"/>
      <c r="L34" s="32">
        <f>L31*L32*L33</f>
        <v>7.59</v>
      </c>
    </row>
    <row r="35" spans="2:12" x14ac:dyDescent="0.45">
      <c r="B35" t="s">
        <v>25</v>
      </c>
      <c r="C35" s="7">
        <v>0.15</v>
      </c>
      <c r="J35" s="15" t="s">
        <v>38</v>
      </c>
      <c r="K35" s="1"/>
      <c r="L35" s="33">
        <f>L34*12</f>
        <v>91.08</v>
      </c>
    </row>
    <row r="36" spans="2:12" x14ac:dyDescent="0.45">
      <c r="J36" s="17" t="s">
        <v>39</v>
      </c>
      <c r="L36" s="31">
        <v>0.2</v>
      </c>
    </row>
    <row r="37" spans="2:12" x14ac:dyDescent="0.45">
      <c r="J37" s="15" t="s">
        <v>22</v>
      </c>
      <c r="K37" s="1"/>
      <c r="L37" s="33">
        <f>L35/(1-L36)</f>
        <v>113.85</v>
      </c>
    </row>
    <row r="38" spans="2:12" x14ac:dyDescent="0.45">
      <c r="J38" s="20"/>
      <c r="K38" s="21"/>
      <c r="L38" s="34"/>
    </row>
    <row r="40" spans="2:12" x14ac:dyDescent="0.45">
      <c r="B40" s="58" t="s">
        <v>79</v>
      </c>
      <c r="C40" s="58"/>
    </row>
    <row r="41" spans="2:12" x14ac:dyDescent="0.45">
      <c r="B41" s="58" t="s">
        <v>68</v>
      </c>
      <c r="C41" s="62">
        <v>32000000000</v>
      </c>
    </row>
    <row r="42" spans="2:12" x14ac:dyDescent="0.45">
      <c r="B42" s="58" t="s">
        <v>69</v>
      </c>
      <c r="C42" s="62">
        <f>3%*C41</f>
        <v>960000000</v>
      </c>
    </row>
    <row r="43" spans="2:12" x14ac:dyDescent="0.45">
      <c r="B43" s="58" t="s">
        <v>70</v>
      </c>
      <c r="C43" s="62">
        <f>C42*20%</f>
        <v>192000000</v>
      </c>
    </row>
  </sheetData>
  <mergeCells count="5">
    <mergeCell ref="J30:K31"/>
    <mergeCell ref="J32:K32"/>
    <mergeCell ref="J33:K33"/>
    <mergeCell ref="J34:K34"/>
    <mergeCell ref="M31:M32"/>
  </mergeCells>
  <hyperlinks>
    <hyperlink ref="M31" r:id="rId1" xr:uid="{25B1F93F-0142-49A4-9A7F-8529873AF43E}"/>
    <hyperlink ref="J6" r:id="rId2" xr:uid="{3E9A13B7-B7CE-46E8-923C-50BFA171200F}"/>
  </hyperlinks>
  <pageMargins left="0.7" right="0.7" top="0.75" bottom="0.75" header="0.3" footer="0.3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Roblox SkatePark + Olympics</vt:lpstr>
      <vt:lpstr>Influencer Campaign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Tejaswa Gavankar</dc:creator>
  <cp:keywords/>
  <dc:description/>
  <cp:lastModifiedBy>Tejaswa Gavankar</cp:lastModifiedBy>
  <cp:revision/>
  <dcterms:created xsi:type="dcterms:W3CDTF">2015-06-05T18:17:20Z</dcterms:created>
  <dcterms:modified xsi:type="dcterms:W3CDTF">2023-02-28T17:06:24Z</dcterms:modified>
  <cp:category/>
  <cp:contentStatus/>
</cp:coreProperties>
</file>